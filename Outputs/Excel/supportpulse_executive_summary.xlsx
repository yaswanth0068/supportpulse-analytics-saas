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4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Executive Summary" sheetId="1" state="visible" r:id="rId3"/>
    <sheet name="SLA Data" sheetId="2" state="visible" r:id="rId4"/>
    <sheet name="Breach Rate Summary" sheetId="3" state="visible" r:id="rId5"/>
    <sheet name="Volume &amp; Model Charts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<sst xmlns="http://schemas.openxmlformats.org/spreadsheetml/2006/main" count="202" uniqueCount="153">
  <si>
    <t xml:space="preserve">SupportPulse — SaaS Helpdesk SLA &amp; Agent Performance Analytics</t>
  </si>
  <si>
    <t xml:space="preserve">Prepared for: DeskPulse Cloud Solutions Support Leadership</t>
  </si>
  <si>
    <t xml:space="preserve">Dataset: 100,000 synthetic SaaS helpdesk tickets (2022–2025)</t>
  </si>
  <si>
    <t xml:space="preserve">Key Metrics</t>
  </si>
  <si>
    <t xml:space="preserve">Overall SLA Breach Rate</t>
  </si>
  <si>
    <t xml:space="preserve">Total Tickets Analyzed</t>
  </si>
  <si>
    <t xml:space="preserve">Avg Resolution Time (hrs, all terminal)</t>
  </si>
  <si>
    <t xml:space="preserve">Model Recall on Breach Risk</t>
  </si>
  <si>
    <t xml:space="preserve">Key Findings</t>
  </si>
  <si>
    <t xml:space="preserve">1. The "Platinum Paradox": Platinum-tier tickets breach SLA 3–5x more often than standard-tier tickets (up to 85.5% vs 13.1%), despite nearly identical actual resolution times across all plan tiers. This indicates the platinum SLA targets are set unrealistically tight relative to the team's real operating speed — not that platinum service is worse.</t>
  </si>
  <si>
    <t xml:space="preserve">2. Priority x Plan tier is overwhelmingly the dominant driver of SLA breach. Channel, customer segment, product area, and customer sentiment all show negligible effect (breach rates vary by only 1-2 percentage points across these categories).</t>
  </si>
  <si>
    <t xml:space="preserve">3. Customer sentiment does not predict SLA breach or vice versa. Average sentiment, CSAT, and reopen rate are nearly identical between breached and non-breached tickets — sentiment reflects the nature of the issue at intake, not the outcome of resolution.</t>
  </si>
  <si>
    <t xml:space="preserve">4. Ticket volume has been flat at ~2,000-2,200 tickets/month since 2022, with no growth trend — this is an SLA design and efficiency problem, not a scaling problem.</t>
  </si>
  <si>
    <t xml:space="preserve">5. A Random Forest model (class_weight=balanced) predicts SLA breach risk at ticket-creation time with ROC-AUC 0.775 and catches 73% of true breaches, enabling proactive triage. sla_plan and sla_target_hours alone account for ~76% of the model's predictive power, independently confirming Finding #1.</t>
  </si>
  <si>
    <t xml:space="preserve">Recommendation</t>
  </si>
  <si>
    <t xml:space="preserve">Renegotiate or redesign platinum-tier SLA targets to align with actual measured resolution capacity, rather than assuming premium tickets require proportionally faster targets. Use the breach-risk model to flag high-risk tickets (probability &gt; 0.5) for proactive escalation before they breach.</t>
  </si>
  <si>
    <t xml:space="preserve">Source Data — SLA Breach Analysis</t>
  </si>
  <si>
    <t xml:space="preserve">Note: total_tickets and breached_tickets are sourced from SQL analysis (SQL/01_sla_compliance.sql). Breach rate is a formula.</t>
  </si>
  <si>
    <t xml:space="preserve">SLA Breach Rate by Priority and Plan Tier</t>
  </si>
  <si>
    <t xml:space="preserve">Priority</t>
  </si>
  <si>
    <t xml:space="preserve">Plan Tier</t>
  </si>
  <si>
    <t xml:space="preserve">Total Tickets</t>
  </si>
  <si>
    <t xml:space="preserve">Breached Tickets</t>
  </si>
  <si>
    <t xml:space="preserve">Breach Rate</t>
  </si>
  <si>
    <t xml:space="preserve">medium</t>
  </si>
  <si>
    <t xml:space="preserve">platinum</t>
  </si>
  <si>
    <t xml:space="preserve">high</t>
  </si>
  <si>
    <t xml:space="preserve">low</t>
  </si>
  <si>
    <t xml:space="preserve">urgent</t>
  </si>
  <si>
    <t xml:space="preserve">gold</t>
  </si>
  <si>
    <t xml:space="preserve">standard</t>
  </si>
  <si>
    <t xml:space="preserve">Total</t>
  </si>
  <si>
    <t xml:space="preserve">SLA Breach Rate by Product Area</t>
  </si>
  <si>
    <t xml:space="preserve">Product Area</t>
  </si>
  <si>
    <t xml:space="preserve">api_integration</t>
  </si>
  <si>
    <t xml:space="preserve">mobile_app</t>
  </si>
  <si>
    <t xml:space="preserve">login_auth</t>
  </si>
  <si>
    <t xml:space="preserve">notifications</t>
  </si>
  <si>
    <t xml:space="preserve">analytics_dashboard</t>
  </si>
  <si>
    <t xml:space="preserve">billing</t>
  </si>
  <si>
    <t xml:space="preserve">data_export</t>
  </si>
  <si>
    <t xml:space="preserve">SLA Breach Rate by Channel and Customer Segment</t>
  </si>
  <si>
    <t xml:space="preserve">Source: Python EDA (Jupyter_Notebooks/02_eda.ipynb) — rates only, underlying counts not re-exported</t>
  </si>
  <si>
    <t xml:space="preserve">Channel</t>
  </si>
  <si>
    <t xml:space="preserve">Customer Segment</t>
  </si>
  <si>
    <t xml:space="preserve">phone_transcript</t>
  </si>
  <si>
    <t xml:space="preserve">small_business</t>
  </si>
  <si>
    <t xml:space="preserve">in_app</t>
  </si>
  <si>
    <t xml:space="preserve">enterprise</t>
  </si>
  <si>
    <t xml:space="preserve">chat</t>
  </si>
  <si>
    <t xml:space="preserve">non_profit</t>
  </si>
  <si>
    <t xml:space="preserve">web_form</t>
  </si>
  <si>
    <t xml:space="preserve">education</t>
  </si>
  <si>
    <t xml:space="preserve">email</t>
  </si>
  <si>
    <t xml:space="preserve">individual</t>
  </si>
  <si>
    <t xml:space="preserve">Sentiment / CSAT / Reopen Rate by Breach Status</t>
  </si>
  <si>
    <t xml:space="preserve">SLA Breached?</t>
  </si>
  <si>
    <t xml:space="preserve">Avg Sentiment Score</t>
  </si>
  <si>
    <t xml:space="preserve">Avg CSAT</t>
  </si>
  <si>
    <t xml:space="preserve">Reopen Rate</t>
  </si>
  <si>
    <t xml:space="preserve">n</t>
  </si>
  <si>
    <t xml:space="preserve">No</t>
  </si>
  <si>
    <t xml:space="preserve">Yes</t>
  </si>
  <si>
    <t xml:space="preserve">Overall Totals (feeds Executive Summary)</t>
  </si>
  <si>
    <t xml:space="preserve">Total Terminal Tickets</t>
  </si>
  <si>
    <t xml:space="preserve">Total Breached Tickets</t>
  </si>
  <si>
    <t xml:space="preserve">Overall Breach Rate</t>
  </si>
  <si>
    <t xml:space="preserve">SLA Breach Rate Matrix — Priority x Plan Tier</t>
  </si>
  <si>
    <t xml:space="preserve">Standard</t>
  </si>
  <si>
    <t xml:space="preserve">Gold</t>
  </si>
  <si>
    <t xml:space="preserve">Platinum</t>
  </si>
  <si>
    <t xml:space="preserve">Low</t>
  </si>
  <si>
    <t xml:space="preserve">Medium</t>
  </si>
  <si>
    <t xml:space="preserve">High</t>
  </si>
  <si>
    <t xml:space="preserve">Urgent</t>
  </si>
  <si>
    <t xml:space="preserve">Actual vs. Target Resolution Time (avg hours), by Plan and Priority</t>
  </si>
  <si>
    <t xml:space="preserve">Avg Actual Resolution (hrs)</t>
  </si>
  <si>
    <t xml:space="preserve">Avg SLA Target (hrs)</t>
  </si>
  <si>
    <t xml:space="preserve">Gap (Actual - Target)</t>
  </si>
  <si>
    <t xml:space="preserve">Monthly Ticket Volume (2022-2025)</t>
  </si>
  <si>
    <t xml:space="preserve">Month</t>
  </si>
  <si>
    <t xml:space="preserve">Ticket Count</t>
  </si>
  <si>
    <t xml:space="preserve">2022-01</t>
  </si>
  <si>
    <t xml:space="preserve">2022-02</t>
  </si>
  <si>
    <t xml:space="preserve">2022-03</t>
  </si>
  <si>
    <t xml:space="preserve">2022-04</t>
  </si>
  <si>
    <t xml:space="preserve">2022-05</t>
  </si>
  <si>
    <t xml:space="preserve">2022-06</t>
  </si>
  <si>
    <t xml:space="preserve">2022-07</t>
  </si>
  <si>
    <t xml:space="preserve">2022-08</t>
  </si>
  <si>
    <t xml:space="preserve">2022-09</t>
  </si>
  <si>
    <t xml:space="preserve">2022-10</t>
  </si>
  <si>
    <t xml:space="preserve">2022-11</t>
  </si>
  <si>
    <t xml:space="preserve">2022-12</t>
  </si>
  <si>
    <t xml:space="preserve">2023-01</t>
  </si>
  <si>
    <t xml:space="preserve">2023-02</t>
  </si>
  <si>
    <t xml:space="preserve">2023-03</t>
  </si>
  <si>
    <t xml:space="preserve">2023-04</t>
  </si>
  <si>
    <t xml:space="preserve">2023-05</t>
  </si>
  <si>
    <t xml:space="preserve">2023-06</t>
  </si>
  <si>
    <t xml:space="preserve">2023-07</t>
  </si>
  <si>
    <t xml:space="preserve">2023-08</t>
  </si>
  <si>
    <t xml:space="preserve">2023-09</t>
  </si>
  <si>
    <t xml:space="preserve">2023-10</t>
  </si>
  <si>
    <t xml:space="preserve">2023-11</t>
  </si>
  <si>
    <t xml:space="preserve">2023-12</t>
  </si>
  <si>
    <t xml:space="preserve">2024-01</t>
  </si>
  <si>
    <t xml:space="preserve">2024-02</t>
  </si>
  <si>
    <t xml:space="preserve">2024-03</t>
  </si>
  <si>
    <t xml:space="preserve">2024-04</t>
  </si>
  <si>
    <t xml:space="preserve">2024-05</t>
  </si>
  <si>
    <t xml:space="preserve">2024-06</t>
  </si>
  <si>
    <t xml:space="preserve">2024-07</t>
  </si>
  <si>
    <t xml:space="preserve">2024-08</t>
  </si>
  <si>
    <t xml:space="preserve">2024-09</t>
  </si>
  <si>
    <t xml:space="preserve">2024-10</t>
  </si>
  <si>
    <t xml:space="preserve">2024-11</t>
  </si>
  <si>
    <t xml:space="preserve">2024-12</t>
  </si>
  <si>
    <t xml:space="preserve">2025-01</t>
  </si>
  <si>
    <t xml:space="preserve">2025-02</t>
  </si>
  <si>
    <t xml:space="preserve">2025-03</t>
  </si>
  <si>
    <t xml:space="preserve">2025-04</t>
  </si>
  <si>
    <t xml:space="preserve">2025-05</t>
  </si>
  <si>
    <t xml:space="preserve">2025-06</t>
  </si>
  <si>
    <t xml:space="preserve">2025-07</t>
  </si>
  <si>
    <t xml:space="preserve">2025-08</t>
  </si>
  <si>
    <t xml:space="preserve">2025-09</t>
  </si>
  <si>
    <t xml:space="preserve">2025-10</t>
  </si>
  <si>
    <t xml:space="preserve">2025-11</t>
  </si>
  <si>
    <t xml:space="preserve">2025-12</t>
  </si>
  <si>
    <t xml:space="preserve">SLA Breach Model — Feature Importance</t>
  </si>
  <si>
    <t xml:space="preserve">Feature</t>
  </si>
  <si>
    <t xml:space="preserve">Importance</t>
  </si>
  <si>
    <t xml:space="preserve">sla_plan</t>
  </si>
  <si>
    <t xml:space="preserve">sla_target_hours</t>
  </si>
  <si>
    <t xml:space="preserve">priority</t>
  </si>
  <si>
    <t xml:space="preserve">created_hour</t>
  </si>
  <si>
    <t xml:space="preserve">issue_type</t>
  </si>
  <si>
    <t xml:space="preserve">product_area</t>
  </si>
  <si>
    <t xml:space="preserve">created_dow</t>
  </si>
  <si>
    <t xml:space="preserve">sentiment_score</t>
  </si>
  <si>
    <t xml:space="preserve">channel</t>
  </si>
  <si>
    <t xml:space="preserve">customer_segment</t>
  </si>
  <si>
    <t xml:space="preserve">platform</t>
  </si>
  <si>
    <t xml:space="preserve">region</t>
  </si>
  <si>
    <t xml:space="preserve">has_attachment</t>
  </si>
  <si>
    <t xml:space="preserve">Model Performance Summary</t>
  </si>
  <si>
    <t xml:space="preserve">Model</t>
  </si>
  <si>
    <t xml:space="preserve">Random Forest (class_weight='balanced')</t>
  </si>
  <si>
    <t xml:space="preserve">ROC-AUC</t>
  </si>
  <si>
    <t xml:space="preserve">Breach Recall</t>
  </si>
  <si>
    <t xml:space="preserve">Breach Precision</t>
  </si>
  <si>
    <t xml:space="preserve">Overall Accuracy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</si>
</sst>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0.0%"/>
    <numFmt numFmtId="166" formatCode="#,##0"/>
    <numFmt numFmtId="167" formatCode="0.0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F4E78"/>
      <name val="Arial"/>
      <family val="0"/>
      <charset val="1"/>
    </font>
    <font>
      <i val="true"/>
      <sz val="11"/>
      <color rgb="FF595959"/>
      <name val="Arial"/>
      <family val="0"/>
      <charset val="1"/>
    </font>
    <font>
      <b val="true"/>
      <sz val="11"/>
      <name val="Arial"/>
      <family val="0"/>
      <charset val="1"/>
    </font>
    <font>
      <sz val="11"/>
      <name val="Arial"/>
      <family val="0"/>
      <charset val="1"/>
    </font>
    <font>
      <sz val="11"/>
      <color rgb="FF000000"/>
      <name val="Arial"/>
      <family val="0"/>
      <charset val="1"/>
    </font>
    <font>
      <sz val="11"/>
      <color rgb="FF0000FF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6" fontId="8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7" fontId="9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5" fontId="9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7B7"/>
      <rgbColor rgb="FF878787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A7EBB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4F81BD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Monthly Ticket Volume Trend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'Volume &amp; Model Charts'!C4</c:f>
              <c:strCache>
                <c:ptCount val="1"/>
                <c:pt idx="0">
                  <c:v>Ticket Count</c:v>
                </c:pt>
              </c:strCache>
            </c:strRef>
          </c:tx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'Volume &amp; Model Charts'!$B$5:$B$52</c:f>
              <c:strCache>
                <c:ptCount val="48"/>
                <c:pt idx="0">
                  <c:v>2022-01</c:v>
                </c:pt>
                <c:pt idx="1">
                  <c:v>2022-02</c:v>
                </c:pt>
                <c:pt idx="2">
                  <c:v>2022-03</c:v>
                </c:pt>
                <c:pt idx="3">
                  <c:v>2022-04</c:v>
                </c:pt>
                <c:pt idx="4">
                  <c:v>2022-05</c:v>
                </c:pt>
                <c:pt idx="5">
                  <c:v>2022-06</c:v>
                </c:pt>
                <c:pt idx="6">
                  <c:v>2022-07</c:v>
                </c:pt>
                <c:pt idx="7">
                  <c:v>2022-08</c:v>
                </c:pt>
                <c:pt idx="8">
                  <c:v>2022-09</c:v>
                </c:pt>
                <c:pt idx="9">
                  <c:v>2022-10</c:v>
                </c:pt>
                <c:pt idx="10">
                  <c:v>2022-11</c:v>
                </c:pt>
                <c:pt idx="11">
                  <c:v>2022-12</c:v>
                </c:pt>
                <c:pt idx="12">
                  <c:v>2023-01</c:v>
                </c:pt>
                <c:pt idx="13">
                  <c:v>2023-02</c:v>
                </c:pt>
                <c:pt idx="14">
                  <c:v>2023-03</c:v>
                </c:pt>
                <c:pt idx="15">
                  <c:v>2023-04</c:v>
                </c:pt>
                <c:pt idx="16">
                  <c:v>2023-05</c:v>
                </c:pt>
                <c:pt idx="17">
                  <c:v>2023-06</c:v>
                </c:pt>
                <c:pt idx="18">
                  <c:v>2023-07</c:v>
                </c:pt>
                <c:pt idx="19">
                  <c:v>2023-08</c:v>
                </c:pt>
                <c:pt idx="20">
                  <c:v>2023-09</c:v>
                </c:pt>
                <c:pt idx="21">
                  <c:v>2023-10</c:v>
                </c:pt>
                <c:pt idx="22">
                  <c:v>2023-11</c:v>
                </c:pt>
                <c:pt idx="23">
                  <c:v>2023-12</c:v>
                </c:pt>
                <c:pt idx="24">
                  <c:v>2024-01</c:v>
                </c:pt>
                <c:pt idx="25">
                  <c:v>2024-02</c:v>
                </c:pt>
                <c:pt idx="26">
                  <c:v>2024-03</c:v>
                </c:pt>
                <c:pt idx="27">
                  <c:v>2024-04</c:v>
                </c:pt>
                <c:pt idx="28">
                  <c:v>2024-05</c:v>
                </c:pt>
                <c:pt idx="29">
                  <c:v>2024-06</c:v>
                </c:pt>
                <c:pt idx="30">
                  <c:v>2024-07</c:v>
                </c:pt>
                <c:pt idx="31">
                  <c:v>2024-08</c:v>
                </c:pt>
                <c:pt idx="32">
                  <c:v>2024-09</c:v>
                </c:pt>
                <c:pt idx="33">
                  <c:v>2024-10</c:v>
                </c:pt>
                <c:pt idx="34">
                  <c:v>2024-11</c:v>
                </c:pt>
                <c:pt idx="35">
                  <c:v>2024-12</c:v>
                </c:pt>
                <c:pt idx="36">
                  <c:v>2025-01</c:v>
                </c:pt>
                <c:pt idx="37">
                  <c:v>2025-02</c:v>
                </c:pt>
                <c:pt idx="38">
                  <c:v>2025-03</c:v>
                </c:pt>
                <c:pt idx="39">
                  <c:v>2025-04</c:v>
                </c:pt>
                <c:pt idx="40">
                  <c:v>2025-05</c:v>
                </c:pt>
                <c:pt idx="41">
                  <c:v>2025-06</c:v>
                </c:pt>
                <c:pt idx="42">
                  <c:v>2025-07</c:v>
                </c:pt>
                <c:pt idx="43">
                  <c:v>2025-08</c:v>
                </c:pt>
                <c:pt idx="44">
                  <c:v>2025-09</c:v>
                </c:pt>
                <c:pt idx="45">
                  <c:v>2025-10</c:v>
                </c:pt>
                <c:pt idx="46">
                  <c:v>2025-11</c:v>
                </c:pt>
                <c:pt idx="47">
                  <c:v>2025-12</c:v>
                </c:pt>
              </c:strCache>
            </c:strRef>
          </c:cat>
          <c:val>
            <c:numRef>
              <c:f>'Volume &amp; Model Charts'!$C$5:$C$52</c:f>
              <c:numCache>
                <c:formatCode>General</c:formatCode>
                <c:ptCount val="48"/>
                <c:pt idx="0">
                  <c:v>2109</c:v>
                </c:pt>
                <c:pt idx="1">
                  <c:v>1835</c:v>
                </c:pt>
                <c:pt idx="2">
                  <c:v>2139</c:v>
                </c:pt>
                <c:pt idx="3">
                  <c:v>2044</c:v>
                </c:pt>
                <c:pt idx="4">
                  <c:v>2044</c:v>
                </c:pt>
                <c:pt idx="5">
                  <c:v>2092</c:v>
                </c:pt>
                <c:pt idx="6">
                  <c:v>2070</c:v>
                </c:pt>
                <c:pt idx="7">
                  <c:v>2091</c:v>
                </c:pt>
                <c:pt idx="8">
                  <c:v>2006</c:v>
                </c:pt>
                <c:pt idx="9">
                  <c:v>2094</c:v>
                </c:pt>
                <c:pt idx="10">
                  <c:v>2056</c:v>
                </c:pt>
                <c:pt idx="11">
                  <c:v>2023</c:v>
                </c:pt>
                <c:pt idx="12">
                  <c:v>2068</c:v>
                </c:pt>
                <c:pt idx="13">
                  <c:v>1978</c:v>
                </c:pt>
                <c:pt idx="14">
                  <c:v>2148</c:v>
                </c:pt>
                <c:pt idx="15">
                  <c:v>2039</c:v>
                </c:pt>
                <c:pt idx="16">
                  <c:v>2066</c:v>
                </c:pt>
                <c:pt idx="17">
                  <c:v>2038</c:v>
                </c:pt>
                <c:pt idx="18">
                  <c:v>2263</c:v>
                </c:pt>
                <c:pt idx="19">
                  <c:v>2098</c:v>
                </c:pt>
                <c:pt idx="20">
                  <c:v>2104</c:v>
                </c:pt>
                <c:pt idx="21">
                  <c:v>2121</c:v>
                </c:pt>
                <c:pt idx="22">
                  <c:v>2045</c:v>
                </c:pt>
                <c:pt idx="23">
                  <c:v>2197</c:v>
                </c:pt>
                <c:pt idx="24">
                  <c:v>2161</c:v>
                </c:pt>
                <c:pt idx="25">
                  <c:v>1976</c:v>
                </c:pt>
                <c:pt idx="26">
                  <c:v>2102</c:v>
                </c:pt>
                <c:pt idx="27">
                  <c:v>2078</c:v>
                </c:pt>
                <c:pt idx="28">
                  <c:v>2159</c:v>
                </c:pt>
                <c:pt idx="29">
                  <c:v>2027</c:v>
                </c:pt>
                <c:pt idx="30">
                  <c:v>2114</c:v>
                </c:pt>
                <c:pt idx="31">
                  <c:v>2211</c:v>
                </c:pt>
                <c:pt idx="32">
                  <c:v>2001</c:v>
                </c:pt>
                <c:pt idx="33">
                  <c:v>2097</c:v>
                </c:pt>
                <c:pt idx="34">
                  <c:v>2060</c:v>
                </c:pt>
                <c:pt idx="35">
                  <c:v>2084</c:v>
                </c:pt>
                <c:pt idx="36">
                  <c:v>2158</c:v>
                </c:pt>
                <c:pt idx="37">
                  <c:v>1895</c:v>
                </c:pt>
                <c:pt idx="38">
                  <c:v>2129</c:v>
                </c:pt>
                <c:pt idx="39">
                  <c:v>2058</c:v>
                </c:pt>
                <c:pt idx="40">
                  <c:v>2125</c:v>
                </c:pt>
                <c:pt idx="41">
                  <c:v>2090</c:v>
                </c:pt>
                <c:pt idx="42">
                  <c:v>2127</c:v>
                </c:pt>
                <c:pt idx="43">
                  <c:v>2128</c:v>
                </c:pt>
                <c:pt idx="44">
                  <c:v>2063</c:v>
                </c:pt>
                <c:pt idx="45">
                  <c:v>2146</c:v>
                </c:pt>
                <c:pt idx="46">
                  <c:v>2114</c:v>
                </c:pt>
                <c:pt idx="47">
                  <c:v>2129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73440273"/>
        <c:axId val="44365822"/>
      </c:lineChart>
      <c:catAx>
        <c:axId val="73440273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Month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4365822"/>
        <c:crosses val="autoZero"/>
        <c:auto val="1"/>
        <c:lblAlgn val="ctr"/>
        <c:lblOffset val="100"/>
        <c:noMultiLvlLbl val="0"/>
      </c:catAx>
      <c:valAx>
        <c:axId val="44365822"/>
        <c:scaling>
          <c:orientation val="minMax"/>
          <c:min val="0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Ticket Count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3440273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Feature Importance — SLA Breach Prediction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'Volume &amp; Model Charts'!C56</c:f>
              <c:strCache>
                <c:ptCount val="1"/>
                <c:pt idx="0">
                  <c:v>Importance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'Volume &amp; Model Charts'!$B$57:$B$69</c:f>
              <c:strCache>
                <c:ptCount val="13"/>
                <c:pt idx="0">
                  <c:v>sla_plan</c:v>
                </c:pt>
                <c:pt idx="1">
                  <c:v>sla_target_hours</c:v>
                </c:pt>
                <c:pt idx="2">
                  <c:v>priority</c:v>
                </c:pt>
                <c:pt idx="3">
                  <c:v>created_hour</c:v>
                </c:pt>
                <c:pt idx="4">
                  <c:v>issue_type</c:v>
                </c:pt>
                <c:pt idx="5">
                  <c:v>product_area</c:v>
                </c:pt>
                <c:pt idx="6">
                  <c:v>created_dow</c:v>
                </c:pt>
                <c:pt idx="7">
                  <c:v>sentiment_score</c:v>
                </c:pt>
                <c:pt idx="8">
                  <c:v>channel</c:v>
                </c:pt>
                <c:pt idx="9">
                  <c:v>customer_segment</c:v>
                </c:pt>
                <c:pt idx="10">
                  <c:v>platform</c:v>
                </c:pt>
                <c:pt idx="11">
                  <c:v>region</c:v>
                </c:pt>
                <c:pt idx="12">
                  <c:v>has_attachment</c:v>
                </c:pt>
              </c:strCache>
            </c:strRef>
          </c:cat>
          <c:val>
            <c:numRef>
              <c:f>'Volume &amp; Model Charts'!$C$57:$C$69</c:f>
              <c:numCache>
                <c:formatCode>0.0%</c:formatCode>
                <c:ptCount val="13"/>
                <c:pt idx="0">
                  <c:v>0.545</c:v>
                </c:pt>
                <c:pt idx="1">
                  <c:v>0.218</c:v>
                </c:pt>
                <c:pt idx="2">
                  <c:v>0.048</c:v>
                </c:pt>
                <c:pt idx="3">
                  <c:v>0.034</c:v>
                </c:pt>
                <c:pt idx="4">
                  <c:v>0.022</c:v>
                </c:pt>
                <c:pt idx="5">
                  <c:v>0.021</c:v>
                </c:pt>
                <c:pt idx="6">
                  <c:v>0.02</c:v>
                </c:pt>
                <c:pt idx="7">
                  <c:v>0.018</c:v>
                </c:pt>
                <c:pt idx="8">
                  <c:v>0.017</c:v>
                </c:pt>
                <c:pt idx="9">
                  <c:v>0.017</c:v>
                </c:pt>
                <c:pt idx="10">
                  <c:v>0.017</c:v>
                </c:pt>
                <c:pt idx="11">
                  <c:v>0.017</c:v>
                </c:pt>
                <c:pt idx="12">
                  <c:v>0.007</c:v>
                </c:pt>
              </c:numCache>
            </c:numRef>
          </c:val>
        </c:ser>
        <c:gapWidth val="150"/>
        <c:overlap val="0"/>
        <c:axId val="37147309"/>
        <c:axId val="18376409"/>
      </c:barChart>
      <c:catAx>
        <c:axId val="37147309"/>
        <c:scaling>
          <c:orientation val="minMax"/>
        </c:scaling>
        <c:delete val="0"/>
        <c:axPos val="b"/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Importance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8376409"/>
        <c:crosses val="autoZero"/>
        <c:auto val="1"/>
        <c:lblAlgn val="ctr"/>
        <c:lblOffset val="100"/>
        <c:noMultiLvlLbl val="0"/>
      </c:catAx>
      <c:valAx>
        <c:axId val="18376409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Feature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%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7147309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5</xdr:col>
      <xdr:colOff>0</xdr:colOff>
      <xdr:row>2</xdr:row>
      <xdr:rowOff>131040</xdr:rowOff>
    </xdr:from>
    <xdr:to>
      <xdr:col>16</xdr:col>
      <xdr:colOff>473040</xdr:colOff>
      <xdr:row>17</xdr:row>
      <xdr:rowOff>153000</xdr:rowOff>
    </xdr:to>
    <xdr:graphicFrame>
      <xdr:nvGraphicFramePr>
        <xdr:cNvPr id="0" name="Chart 1"/>
        <xdr:cNvGraphicFramePr/>
      </xdr:nvGraphicFramePr>
      <xdr:xfrm>
        <a:off x="3312720" y="571680"/>
        <a:ext cx="719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5</xdr:col>
      <xdr:colOff>0</xdr:colOff>
      <xdr:row>22</xdr:row>
      <xdr:rowOff>131040</xdr:rowOff>
    </xdr:from>
    <xdr:to>
      <xdr:col>16</xdr:col>
      <xdr:colOff>473040</xdr:colOff>
      <xdr:row>41</xdr:row>
      <xdr:rowOff>110880</xdr:rowOff>
    </xdr:to>
    <xdr:graphicFrame>
      <xdr:nvGraphicFramePr>
        <xdr:cNvPr id="1" name="Chart 2"/>
        <xdr:cNvGraphicFramePr/>
      </xdr:nvGraphicFramePr>
      <xdr:xfrm>
        <a:off x="3312720" y="4381560"/>
        <a:ext cx="7199640" cy="35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H2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14"/>
    <col collapsed="false" customWidth="true" hidden="false" outlineLevel="0" max="3" min="3" style="0" width="4"/>
    <col collapsed="false" customWidth="true" hidden="false" outlineLevel="0" max="4" min="4" style="0" width="16"/>
    <col collapsed="false" customWidth="true" hidden="false" outlineLevel="0" max="8" min="5" style="0" width="4"/>
  </cols>
  <sheetData>
    <row r="2" customFormat="false" ht="19.7" hidden="false" customHeight="false" outlineLevel="0" collapsed="false">
      <c r="B2" s="1" t="s">
        <v>0</v>
      </c>
    </row>
    <row r="3" customFormat="false" ht="15" hidden="false" customHeight="false" outlineLevel="0" collapsed="false">
      <c r="B3" s="2" t="s">
        <v>1</v>
      </c>
    </row>
    <row r="4" customFormat="false" ht="15" hidden="false" customHeight="false" outlineLevel="0" collapsed="false">
      <c r="B4" s="2" t="s">
        <v>2</v>
      </c>
    </row>
    <row r="6" customFormat="false" ht="15" hidden="false" customHeight="false" outlineLevel="0" collapsed="false">
      <c r="B6" s="3" t="s">
        <v>3</v>
      </c>
    </row>
    <row r="7" customFormat="false" ht="15" hidden="false" customHeight="false" outlineLevel="0" collapsed="false">
      <c r="B7" s="4" t="s">
        <v>4</v>
      </c>
      <c r="D7" s="5" t="n">
        <f aca="false">'SLA Data'!F19</f>
        <v>0.332507111606474</v>
      </c>
    </row>
    <row r="8" customFormat="false" ht="15" hidden="false" customHeight="false" outlineLevel="0" collapsed="false">
      <c r="B8" s="4" t="s">
        <v>5</v>
      </c>
      <c r="D8" s="6" t="n">
        <f aca="false">'SLA Data'!D19</f>
        <v>60113</v>
      </c>
    </row>
    <row r="9" customFormat="false" ht="15" hidden="false" customHeight="false" outlineLevel="0" collapsed="false">
      <c r="B9" s="4" t="s">
        <v>6</v>
      </c>
      <c r="D9" s="7" t="n">
        <v>44.9</v>
      </c>
    </row>
    <row r="10" customFormat="false" ht="15" hidden="false" customHeight="false" outlineLevel="0" collapsed="false">
      <c r="B10" s="4" t="s">
        <v>7</v>
      </c>
      <c r="D10" s="8" t="n">
        <v>0.73</v>
      </c>
    </row>
    <row r="12" customFormat="false" ht="15" hidden="false" customHeight="false" outlineLevel="0" collapsed="false">
      <c r="B12" s="3" t="s">
        <v>8</v>
      </c>
    </row>
    <row r="13" customFormat="false" ht="30" hidden="false" customHeight="true" outlineLevel="0" collapsed="false">
      <c r="B13" s="9" t="s">
        <v>9</v>
      </c>
      <c r="C13" s="9"/>
      <c r="D13" s="9"/>
      <c r="E13" s="9"/>
      <c r="F13" s="9"/>
      <c r="G13" s="9"/>
      <c r="H13" s="9"/>
    </row>
    <row r="14" customFormat="false" ht="6" hidden="false" customHeight="true" outlineLevel="0" collapsed="false">
      <c r="B14" s="9"/>
      <c r="C14" s="9"/>
      <c r="D14" s="9"/>
      <c r="E14" s="9"/>
      <c r="F14" s="9"/>
      <c r="G14" s="9"/>
      <c r="H14" s="9"/>
    </row>
    <row r="15" customFormat="false" ht="30" hidden="false" customHeight="true" outlineLevel="0" collapsed="false">
      <c r="B15" s="9" t="s">
        <v>10</v>
      </c>
      <c r="C15" s="9"/>
      <c r="D15" s="9"/>
      <c r="E15" s="9"/>
      <c r="F15" s="9"/>
      <c r="G15" s="9"/>
      <c r="H15" s="9"/>
    </row>
    <row r="16" customFormat="false" ht="6" hidden="false" customHeight="true" outlineLevel="0" collapsed="false">
      <c r="B16" s="9"/>
      <c r="C16" s="9"/>
      <c r="D16" s="9"/>
      <c r="E16" s="9"/>
      <c r="F16" s="9"/>
      <c r="G16" s="9"/>
      <c r="H16" s="9"/>
    </row>
    <row r="17" customFormat="false" ht="30" hidden="false" customHeight="true" outlineLevel="0" collapsed="false">
      <c r="B17" s="9" t="s">
        <v>11</v>
      </c>
      <c r="C17" s="9"/>
      <c r="D17" s="9"/>
      <c r="E17" s="9"/>
      <c r="F17" s="9"/>
      <c r="G17" s="9"/>
      <c r="H17" s="9"/>
    </row>
    <row r="18" customFormat="false" ht="6" hidden="false" customHeight="true" outlineLevel="0" collapsed="false">
      <c r="B18" s="9"/>
      <c r="C18" s="9"/>
      <c r="D18" s="9"/>
      <c r="E18" s="9"/>
      <c r="F18" s="9"/>
      <c r="G18" s="9"/>
      <c r="H18" s="9"/>
    </row>
    <row r="19" customFormat="false" ht="30" hidden="false" customHeight="true" outlineLevel="0" collapsed="false">
      <c r="B19" s="9" t="s">
        <v>12</v>
      </c>
      <c r="C19" s="9"/>
      <c r="D19" s="9"/>
      <c r="E19" s="9"/>
      <c r="F19" s="9"/>
      <c r="G19" s="9"/>
      <c r="H19" s="9"/>
    </row>
    <row r="20" customFormat="false" ht="6" hidden="false" customHeight="true" outlineLevel="0" collapsed="false">
      <c r="B20" s="9"/>
      <c r="C20" s="9"/>
      <c r="D20" s="9"/>
      <c r="E20" s="9"/>
      <c r="F20" s="9"/>
      <c r="G20" s="9"/>
      <c r="H20" s="9"/>
    </row>
    <row r="21" customFormat="false" ht="30" hidden="false" customHeight="true" outlineLevel="0" collapsed="false">
      <c r="B21" s="9" t="s">
        <v>13</v>
      </c>
      <c r="C21" s="9"/>
      <c r="D21" s="9"/>
      <c r="E21" s="9"/>
      <c r="F21" s="9"/>
      <c r="G21" s="9"/>
      <c r="H21" s="9"/>
    </row>
    <row r="23" customFormat="false" ht="15" hidden="false" customHeight="false" outlineLevel="0" collapsed="false">
      <c r="B23" s="3" t="s">
        <v>14</v>
      </c>
    </row>
    <row r="24" customFormat="false" ht="30" hidden="false" customHeight="true" outlineLevel="0" collapsed="false">
      <c r="B24" s="9" t="s">
        <v>15</v>
      </c>
      <c r="C24" s="9"/>
      <c r="D24" s="9"/>
      <c r="E24" s="9"/>
      <c r="F24" s="9"/>
      <c r="G24" s="9"/>
      <c r="H24" s="9"/>
    </row>
    <row r="25" customFormat="false" ht="15" hidden="false" customHeight="false" outlineLevel="0" collapsed="false">
      <c r="B25" s="9"/>
      <c r="C25" s="9"/>
      <c r="D25" s="9"/>
      <c r="E25" s="9"/>
      <c r="F25" s="9"/>
      <c r="G25" s="9"/>
      <c r="H25" s="9"/>
    </row>
    <row r="26" customFormat="false" ht="15" hidden="false" customHeight="false" outlineLevel="0" collapsed="false">
      <c r="B26" s="9"/>
      <c r="C26" s="9"/>
      <c r="D26" s="9"/>
      <c r="E26" s="9"/>
      <c r="F26" s="9"/>
      <c r="G26" s="9"/>
      <c r="H26" s="9"/>
    </row>
  </sheetData>
  <mergeCells count="10">
    <mergeCell ref="B13:H13"/>
    <mergeCell ref="B14:H14"/>
    <mergeCell ref="B15:H15"/>
    <mergeCell ref="B16:H16"/>
    <mergeCell ref="B17:H17"/>
    <mergeCell ref="B18:H18"/>
    <mergeCell ref="B19:H19"/>
    <mergeCell ref="B20:H20"/>
    <mergeCell ref="B21:H21"/>
    <mergeCell ref="B24:H2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H5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22"/>
    <col collapsed="false" customWidth="true" hidden="false" outlineLevel="0" max="3" min="3" style="0" width="14"/>
    <col collapsed="false" customWidth="true" hidden="false" outlineLevel="0" max="4" min="4" style="0" width="16"/>
    <col collapsed="false" customWidth="true" hidden="false" outlineLevel="0" max="6" min="5" style="0" width="14"/>
  </cols>
  <sheetData>
    <row r="2" customFormat="false" ht="19.7" hidden="false" customHeight="false" outlineLevel="0" collapsed="false">
      <c r="B2" s="1" t="s">
        <v>16</v>
      </c>
    </row>
    <row r="3" customFormat="false" ht="15" hidden="false" customHeight="false" outlineLevel="0" collapsed="false">
      <c r="B3" s="10" t="s">
        <v>17</v>
      </c>
      <c r="C3" s="10"/>
      <c r="D3" s="10"/>
      <c r="E3" s="10"/>
      <c r="F3" s="10"/>
      <c r="G3" s="10"/>
      <c r="H3" s="10"/>
    </row>
    <row r="5" customFormat="false" ht="15" hidden="false" customHeight="false" outlineLevel="0" collapsed="false">
      <c r="B5" s="3" t="s">
        <v>18</v>
      </c>
    </row>
    <row r="6" customFormat="false" ht="15" hidden="false" customHeight="false" outlineLevel="0" collapsed="false">
      <c r="B6" s="11" t="s">
        <v>19</v>
      </c>
      <c r="C6" s="11" t="s">
        <v>20</v>
      </c>
      <c r="D6" s="11" t="s">
        <v>21</v>
      </c>
      <c r="E6" s="11" t="s">
        <v>22</v>
      </c>
      <c r="F6" s="11" t="s">
        <v>23</v>
      </c>
    </row>
    <row r="7" customFormat="false" ht="15" hidden="false" customHeight="false" outlineLevel="0" collapsed="false">
      <c r="B7" s="12" t="s">
        <v>24</v>
      </c>
      <c r="C7" s="12" t="s">
        <v>25</v>
      </c>
      <c r="D7" s="12" t="n">
        <v>2134</v>
      </c>
      <c r="E7" s="12" t="n">
        <v>1825</v>
      </c>
      <c r="F7" s="13" t="n">
        <f aca="false">E7/D7</f>
        <v>0.855201499531397</v>
      </c>
    </row>
    <row r="8" customFormat="false" ht="15" hidden="false" customHeight="false" outlineLevel="0" collapsed="false">
      <c r="B8" s="12" t="s">
        <v>26</v>
      </c>
      <c r="C8" s="12" t="s">
        <v>25</v>
      </c>
      <c r="D8" s="12" t="n">
        <v>1185</v>
      </c>
      <c r="E8" s="12" t="n">
        <v>971</v>
      </c>
      <c r="F8" s="13" t="n">
        <f aca="false">E8/D8</f>
        <v>0.819409282700422</v>
      </c>
    </row>
    <row r="9" customFormat="false" ht="15" hidden="false" customHeight="false" outlineLevel="0" collapsed="false">
      <c r="B9" s="12" t="s">
        <v>27</v>
      </c>
      <c r="C9" s="12" t="s">
        <v>25</v>
      </c>
      <c r="D9" s="12" t="n">
        <v>2315</v>
      </c>
      <c r="E9" s="12" t="n">
        <v>1835</v>
      </c>
      <c r="F9" s="13" t="n">
        <f aca="false">E9/D9</f>
        <v>0.792656587473002</v>
      </c>
    </row>
    <row r="10" customFormat="false" ht="15" hidden="false" customHeight="false" outlineLevel="0" collapsed="false">
      <c r="B10" s="12" t="s">
        <v>28</v>
      </c>
      <c r="C10" s="12" t="s">
        <v>25</v>
      </c>
      <c r="D10" s="12" t="n">
        <v>308</v>
      </c>
      <c r="E10" s="12" t="n">
        <v>237</v>
      </c>
      <c r="F10" s="13" t="n">
        <f aca="false">E10/D10</f>
        <v>0.769480519480519</v>
      </c>
    </row>
    <row r="11" customFormat="false" ht="15" hidden="false" customHeight="false" outlineLevel="0" collapsed="false">
      <c r="B11" s="12" t="s">
        <v>24</v>
      </c>
      <c r="C11" s="12" t="s">
        <v>29</v>
      </c>
      <c r="D11" s="12" t="n">
        <v>6384</v>
      </c>
      <c r="E11" s="12" t="n">
        <v>3973</v>
      </c>
      <c r="F11" s="13" t="n">
        <f aca="false">E11/D11</f>
        <v>0.62233709273183</v>
      </c>
    </row>
    <row r="12" customFormat="false" ht="15" hidden="false" customHeight="false" outlineLevel="0" collapsed="false">
      <c r="B12" s="12" t="s">
        <v>28</v>
      </c>
      <c r="C12" s="12" t="s">
        <v>29</v>
      </c>
      <c r="D12" s="12" t="n">
        <v>942</v>
      </c>
      <c r="E12" s="12" t="n">
        <v>552</v>
      </c>
      <c r="F12" s="13" t="n">
        <f aca="false">E12/D12</f>
        <v>0.585987261146497</v>
      </c>
    </row>
    <row r="13" customFormat="false" ht="15" hidden="false" customHeight="false" outlineLevel="0" collapsed="false">
      <c r="B13" s="12" t="s">
        <v>26</v>
      </c>
      <c r="C13" s="12" t="s">
        <v>29</v>
      </c>
      <c r="D13" s="12" t="n">
        <v>3523</v>
      </c>
      <c r="E13" s="12" t="n">
        <v>2046</v>
      </c>
      <c r="F13" s="13" t="n">
        <f aca="false">E13/D13</f>
        <v>0.580755038319614</v>
      </c>
    </row>
    <row r="14" customFormat="false" ht="15" hidden="false" customHeight="false" outlineLevel="0" collapsed="false">
      <c r="B14" s="12" t="s">
        <v>27</v>
      </c>
      <c r="C14" s="12" t="s">
        <v>29</v>
      </c>
      <c r="D14" s="12" t="n">
        <v>7171</v>
      </c>
      <c r="E14" s="12" t="n">
        <v>3307</v>
      </c>
      <c r="F14" s="13" t="n">
        <f aca="false">E14/D14</f>
        <v>0.461163017710222</v>
      </c>
    </row>
    <row r="15" customFormat="false" ht="15" hidden="false" customHeight="false" outlineLevel="0" collapsed="false">
      <c r="B15" s="12" t="s">
        <v>28</v>
      </c>
      <c r="C15" s="12" t="s">
        <v>30</v>
      </c>
      <c r="D15" s="12" t="n">
        <v>1793</v>
      </c>
      <c r="E15" s="12" t="n">
        <v>318</v>
      </c>
      <c r="F15" s="13" t="n">
        <f aca="false">E15/D15</f>
        <v>0.177356385945343</v>
      </c>
    </row>
    <row r="16" customFormat="false" ht="15" hidden="false" customHeight="false" outlineLevel="0" collapsed="false">
      <c r="B16" s="12" t="s">
        <v>26</v>
      </c>
      <c r="C16" s="12" t="s">
        <v>30</v>
      </c>
      <c r="D16" s="12" t="n">
        <v>7174</v>
      </c>
      <c r="E16" s="12" t="n">
        <v>1199</v>
      </c>
      <c r="F16" s="13" t="n">
        <f aca="false">E16/D16</f>
        <v>0.167131307499303</v>
      </c>
    </row>
    <row r="17" customFormat="false" ht="15" hidden="false" customHeight="false" outlineLevel="0" collapsed="false">
      <c r="B17" s="12" t="s">
        <v>24</v>
      </c>
      <c r="C17" s="12" t="s">
        <v>30</v>
      </c>
      <c r="D17" s="12" t="n">
        <v>12840</v>
      </c>
      <c r="E17" s="12" t="n">
        <v>1842</v>
      </c>
      <c r="F17" s="13" t="n">
        <f aca="false">E17/D17</f>
        <v>0.143457943925234</v>
      </c>
    </row>
    <row r="18" customFormat="false" ht="15" hidden="false" customHeight="false" outlineLevel="0" collapsed="false">
      <c r="B18" s="12" t="s">
        <v>27</v>
      </c>
      <c r="C18" s="12" t="s">
        <v>30</v>
      </c>
      <c r="D18" s="12" t="n">
        <v>14344</v>
      </c>
      <c r="E18" s="12" t="n">
        <v>1883</v>
      </c>
      <c r="F18" s="13" t="n">
        <f aca="false">E18/D18</f>
        <v>0.13127440044618</v>
      </c>
    </row>
    <row r="19" customFormat="false" ht="15" hidden="false" customHeight="false" outlineLevel="0" collapsed="false">
      <c r="B19" s="14" t="s">
        <v>31</v>
      </c>
      <c r="C19" s="14"/>
      <c r="D19" s="14" t="n">
        <f aca="false">D50</f>
        <v>60113</v>
      </c>
      <c r="E19" s="14" t="n">
        <f aca="false">SUM(E7:E18)</f>
        <v>19988</v>
      </c>
      <c r="F19" s="15" t="n">
        <f aca="false">D52</f>
        <v>0.332507111606474</v>
      </c>
    </row>
    <row r="22" customFormat="false" ht="15" hidden="false" customHeight="false" outlineLevel="0" collapsed="false">
      <c r="B22" s="3" t="s">
        <v>32</v>
      </c>
    </row>
    <row r="23" customFormat="false" ht="15" hidden="false" customHeight="false" outlineLevel="0" collapsed="false">
      <c r="B23" s="11" t="s">
        <v>33</v>
      </c>
      <c r="C23" s="11" t="s">
        <v>21</v>
      </c>
      <c r="D23" s="11" t="s">
        <v>22</v>
      </c>
      <c r="E23" s="11" t="s">
        <v>23</v>
      </c>
    </row>
    <row r="24" customFormat="false" ht="15" hidden="false" customHeight="false" outlineLevel="0" collapsed="false">
      <c r="B24" s="12" t="s">
        <v>34</v>
      </c>
      <c r="C24" s="12" t="n">
        <v>8592</v>
      </c>
      <c r="D24" s="12" t="n">
        <v>2934</v>
      </c>
      <c r="E24" s="13" t="n">
        <f aca="false">D24/C24</f>
        <v>0.341480446927374</v>
      </c>
    </row>
    <row r="25" customFormat="false" ht="15" hidden="false" customHeight="false" outlineLevel="0" collapsed="false">
      <c r="B25" s="12" t="s">
        <v>35</v>
      </c>
      <c r="C25" s="12" t="n">
        <v>8821</v>
      </c>
      <c r="D25" s="12" t="n">
        <v>2998</v>
      </c>
      <c r="E25" s="13" t="n">
        <f aca="false">D25/C25</f>
        <v>0.339870762952046</v>
      </c>
    </row>
    <row r="26" customFormat="false" ht="15" hidden="false" customHeight="false" outlineLevel="0" collapsed="false">
      <c r="B26" s="12" t="s">
        <v>36</v>
      </c>
      <c r="C26" s="12" t="n">
        <v>8647</v>
      </c>
      <c r="D26" s="12" t="n">
        <v>2913</v>
      </c>
      <c r="E26" s="13" t="n">
        <f aca="false">D26/C26</f>
        <v>0.336879842720019</v>
      </c>
    </row>
    <row r="27" customFormat="false" ht="15" hidden="false" customHeight="false" outlineLevel="0" collapsed="false">
      <c r="B27" s="12" t="s">
        <v>37</v>
      </c>
      <c r="C27" s="12" t="n">
        <v>8473</v>
      </c>
      <c r="D27" s="12" t="n">
        <v>2833</v>
      </c>
      <c r="E27" s="13" t="n">
        <f aca="false">D27/C27</f>
        <v>0.334356190251387</v>
      </c>
    </row>
    <row r="28" customFormat="false" ht="15" hidden="false" customHeight="false" outlineLevel="0" collapsed="false">
      <c r="B28" s="12" t="s">
        <v>38</v>
      </c>
      <c r="C28" s="12" t="n">
        <v>8465</v>
      </c>
      <c r="D28" s="12" t="n">
        <v>2803</v>
      </c>
      <c r="E28" s="13" t="n">
        <f aca="false">D28/C28</f>
        <v>0.331128174837566</v>
      </c>
    </row>
    <row r="29" customFormat="false" ht="15" hidden="false" customHeight="false" outlineLevel="0" collapsed="false">
      <c r="B29" s="12" t="s">
        <v>39</v>
      </c>
      <c r="C29" s="12" t="n">
        <v>8512</v>
      </c>
      <c r="D29" s="12" t="n">
        <v>2749</v>
      </c>
      <c r="E29" s="13" t="n">
        <f aca="false">D29/C29</f>
        <v>0.322955827067669</v>
      </c>
    </row>
    <row r="30" customFormat="false" ht="15" hidden="false" customHeight="false" outlineLevel="0" collapsed="false">
      <c r="B30" s="12" t="s">
        <v>40</v>
      </c>
      <c r="C30" s="12" t="n">
        <v>8603</v>
      </c>
      <c r="D30" s="12" t="n">
        <v>2758</v>
      </c>
      <c r="E30" s="13" t="n">
        <f aca="false">D30/C30</f>
        <v>0.320585842148088</v>
      </c>
    </row>
    <row r="33" customFormat="false" ht="15" hidden="false" customHeight="false" outlineLevel="0" collapsed="false">
      <c r="B33" s="3" t="s">
        <v>41</v>
      </c>
    </row>
    <row r="34" customFormat="false" ht="15" hidden="false" customHeight="false" outlineLevel="0" collapsed="false">
      <c r="B34" s="10" t="s">
        <v>42</v>
      </c>
      <c r="C34" s="10"/>
      <c r="D34" s="10"/>
      <c r="E34" s="10"/>
    </row>
    <row r="35" customFormat="false" ht="15" hidden="false" customHeight="false" outlineLevel="0" collapsed="false">
      <c r="B35" s="16" t="s">
        <v>43</v>
      </c>
      <c r="C35" s="16" t="s">
        <v>23</v>
      </c>
      <c r="E35" s="16" t="s">
        <v>44</v>
      </c>
      <c r="F35" s="16" t="s">
        <v>23</v>
      </c>
    </row>
    <row r="36" customFormat="false" ht="15" hidden="false" customHeight="false" outlineLevel="0" collapsed="false">
      <c r="B36" s="12" t="s">
        <v>45</v>
      </c>
      <c r="C36" s="17" t="n">
        <v>0.338</v>
      </c>
      <c r="E36" s="12" t="s">
        <v>46</v>
      </c>
      <c r="F36" s="17" t="n">
        <v>0.337</v>
      </c>
    </row>
    <row r="37" customFormat="false" ht="15" hidden="false" customHeight="false" outlineLevel="0" collapsed="false">
      <c r="B37" s="12" t="s">
        <v>47</v>
      </c>
      <c r="C37" s="17" t="n">
        <v>0.337</v>
      </c>
      <c r="E37" s="12" t="s">
        <v>48</v>
      </c>
      <c r="F37" s="17" t="n">
        <v>0.337</v>
      </c>
    </row>
    <row r="38" customFormat="false" ht="15" hidden="false" customHeight="false" outlineLevel="0" collapsed="false">
      <c r="B38" s="12" t="s">
        <v>49</v>
      </c>
      <c r="C38" s="17" t="n">
        <v>0.333</v>
      </c>
      <c r="E38" s="12" t="s">
        <v>50</v>
      </c>
      <c r="F38" s="17" t="n">
        <v>0.332</v>
      </c>
    </row>
    <row r="39" customFormat="false" ht="15" hidden="false" customHeight="false" outlineLevel="0" collapsed="false">
      <c r="B39" s="12" t="s">
        <v>51</v>
      </c>
      <c r="C39" s="17" t="n">
        <v>0.328</v>
      </c>
      <c r="E39" s="12" t="s">
        <v>52</v>
      </c>
      <c r="F39" s="17" t="n">
        <v>0.331</v>
      </c>
    </row>
    <row r="40" customFormat="false" ht="15" hidden="false" customHeight="false" outlineLevel="0" collapsed="false">
      <c r="B40" s="12" t="s">
        <v>53</v>
      </c>
      <c r="C40" s="17" t="n">
        <v>0.327</v>
      </c>
      <c r="E40" s="12" t="s">
        <v>54</v>
      </c>
      <c r="F40" s="17" t="n">
        <v>0.325</v>
      </c>
    </row>
    <row r="43" customFormat="false" ht="15" hidden="false" customHeight="false" outlineLevel="0" collapsed="false">
      <c r="B43" s="3" t="s">
        <v>55</v>
      </c>
    </row>
    <row r="44" customFormat="false" ht="15" hidden="false" customHeight="false" outlineLevel="0" collapsed="false">
      <c r="B44" s="11" t="s">
        <v>56</v>
      </c>
      <c r="C44" s="11" t="s">
        <v>57</v>
      </c>
      <c r="D44" s="11" t="s">
        <v>58</v>
      </c>
      <c r="E44" s="11" t="s">
        <v>59</v>
      </c>
      <c r="F44" s="11" t="s">
        <v>60</v>
      </c>
    </row>
    <row r="45" customFormat="false" ht="15" hidden="false" customHeight="false" outlineLevel="0" collapsed="false">
      <c r="B45" s="12" t="s">
        <v>61</v>
      </c>
      <c r="C45" s="12" t="n">
        <v>-0.25</v>
      </c>
      <c r="D45" s="12" t="n">
        <v>2.24</v>
      </c>
      <c r="E45" s="17" t="n">
        <v>0.051</v>
      </c>
      <c r="F45" s="12" t="n">
        <v>40125</v>
      </c>
    </row>
    <row r="46" customFormat="false" ht="15" hidden="false" customHeight="false" outlineLevel="0" collapsed="false">
      <c r="B46" s="12" t="s">
        <v>62</v>
      </c>
      <c r="C46" s="12" t="n">
        <v>-0.27</v>
      </c>
      <c r="D46" s="12" t="n">
        <v>2.23</v>
      </c>
      <c r="E46" s="17" t="n">
        <v>0.052</v>
      </c>
      <c r="F46" s="12" t="n">
        <v>19988</v>
      </c>
    </row>
    <row r="49" customFormat="false" ht="15" hidden="false" customHeight="false" outlineLevel="0" collapsed="false">
      <c r="B49" s="3" t="s">
        <v>63</v>
      </c>
    </row>
    <row r="50" customFormat="false" ht="15" hidden="false" customHeight="false" outlineLevel="0" collapsed="false">
      <c r="B50" s="0" t="s">
        <v>64</v>
      </c>
      <c r="D50" s="18" t="n">
        <v>60113</v>
      </c>
    </row>
    <row r="51" customFormat="false" ht="15" hidden="false" customHeight="false" outlineLevel="0" collapsed="false">
      <c r="B51" s="0" t="s">
        <v>65</v>
      </c>
      <c r="D51" s="18" t="n">
        <v>19988</v>
      </c>
    </row>
    <row r="52" customFormat="false" ht="15" hidden="false" customHeight="false" outlineLevel="0" collapsed="false">
      <c r="B52" s="0" t="s">
        <v>66</v>
      </c>
      <c r="D52" s="19" t="n">
        <f aca="false">D51/D50</f>
        <v>0.332507111606474</v>
      </c>
    </row>
  </sheetData>
  <mergeCells count="2">
    <mergeCell ref="B3:H3"/>
    <mergeCell ref="B34:E3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F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16"/>
    <col collapsed="false" customWidth="true" hidden="false" outlineLevel="0" max="3" min="3" style="0" width="14"/>
    <col collapsed="false" customWidth="true" hidden="false" outlineLevel="0" max="4" min="4" style="0" width="22"/>
    <col collapsed="false" customWidth="true" hidden="false" outlineLevel="0" max="5" min="5" style="0" width="16"/>
    <col collapsed="false" customWidth="true" hidden="false" outlineLevel="0" max="6" min="6" style="0" width="18"/>
  </cols>
  <sheetData>
    <row r="2" customFormat="false" ht="19.7" hidden="false" customHeight="false" outlineLevel="0" collapsed="false">
      <c r="B2" s="1" t="s">
        <v>67</v>
      </c>
    </row>
    <row r="4" customFormat="false" ht="15" hidden="false" customHeight="false" outlineLevel="0" collapsed="false">
      <c r="B4" s="11" t="s">
        <v>19</v>
      </c>
      <c r="C4" s="11" t="s">
        <v>68</v>
      </c>
      <c r="D4" s="11" t="s">
        <v>69</v>
      </c>
      <c r="E4" s="11" t="s">
        <v>70</v>
      </c>
    </row>
    <row r="5" customFormat="false" ht="15" hidden="false" customHeight="false" outlineLevel="0" collapsed="false">
      <c r="B5" s="14" t="s">
        <v>71</v>
      </c>
      <c r="C5" s="17" t="n">
        <v>0.1313</v>
      </c>
      <c r="D5" s="17" t="n">
        <v>0.4612</v>
      </c>
      <c r="E5" s="17" t="n">
        <v>0.7927</v>
      </c>
    </row>
    <row r="6" customFormat="false" ht="15" hidden="false" customHeight="false" outlineLevel="0" collapsed="false">
      <c r="B6" s="14" t="s">
        <v>72</v>
      </c>
      <c r="C6" s="17" t="n">
        <v>0.1435</v>
      </c>
      <c r="D6" s="17" t="n">
        <v>0.6223</v>
      </c>
      <c r="E6" s="17" t="n">
        <v>0.8552</v>
      </c>
    </row>
    <row r="7" customFormat="false" ht="15" hidden="false" customHeight="false" outlineLevel="0" collapsed="false">
      <c r="B7" s="14" t="s">
        <v>73</v>
      </c>
      <c r="C7" s="17" t="n">
        <v>0.1671</v>
      </c>
      <c r="D7" s="17" t="n">
        <v>0.5808</v>
      </c>
      <c r="E7" s="17" t="n">
        <v>0.8194</v>
      </c>
    </row>
    <row r="8" customFormat="false" ht="15" hidden="false" customHeight="false" outlineLevel="0" collapsed="false">
      <c r="B8" s="14" t="s">
        <v>74</v>
      </c>
      <c r="C8" s="17" t="n">
        <v>0.1774</v>
      </c>
      <c r="D8" s="17" t="n">
        <v>0.586</v>
      </c>
      <c r="E8" s="17" t="n">
        <v>0.7695</v>
      </c>
    </row>
    <row r="10" customFormat="false" ht="15" hidden="false" customHeight="false" outlineLevel="0" collapsed="false">
      <c r="B10" s="3" t="s">
        <v>75</v>
      </c>
    </row>
    <row r="11" customFormat="false" ht="15" hidden="false" customHeight="false" outlineLevel="0" collapsed="false">
      <c r="B11" s="11" t="s">
        <v>20</v>
      </c>
      <c r="C11" s="11" t="s">
        <v>19</v>
      </c>
      <c r="D11" s="11" t="s">
        <v>76</v>
      </c>
      <c r="E11" s="11" t="s">
        <v>77</v>
      </c>
      <c r="F11" s="11" t="s">
        <v>78</v>
      </c>
    </row>
    <row r="12" customFormat="false" ht="15" hidden="false" customHeight="false" outlineLevel="0" collapsed="false">
      <c r="B12" s="12" t="s">
        <v>29</v>
      </c>
      <c r="C12" s="12" t="s">
        <v>26</v>
      </c>
      <c r="D12" s="12" t="n">
        <v>30.4</v>
      </c>
      <c r="E12" s="12" t="n">
        <v>12</v>
      </c>
      <c r="F12" s="20" t="n">
        <f aca="false">D12-E12</f>
        <v>18.4</v>
      </c>
    </row>
    <row r="13" customFormat="false" ht="15" hidden="false" customHeight="false" outlineLevel="0" collapsed="false">
      <c r="B13" s="12" t="s">
        <v>29</v>
      </c>
      <c r="C13" s="12" t="s">
        <v>27</v>
      </c>
      <c r="D13" s="12" t="n">
        <v>55.5</v>
      </c>
      <c r="E13" s="12" t="n">
        <v>48</v>
      </c>
      <c r="F13" s="20" t="n">
        <f aca="false">D13-E13</f>
        <v>7.5</v>
      </c>
    </row>
    <row r="14" customFormat="false" ht="15" hidden="false" customHeight="false" outlineLevel="0" collapsed="false">
      <c r="B14" s="12" t="s">
        <v>29</v>
      </c>
      <c r="C14" s="12" t="s">
        <v>24</v>
      </c>
      <c r="D14" s="12" t="n">
        <v>44.3</v>
      </c>
      <c r="E14" s="12" t="n">
        <v>24</v>
      </c>
      <c r="F14" s="20" t="n">
        <f aca="false">D14-E14</f>
        <v>20.3</v>
      </c>
    </row>
    <row r="15" customFormat="false" ht="15" hidden="false" customHeight="false" outlineLevel="0" collapsed="false">
      <c r="B15" s="12" t="s">
        <v>29</v>
      </c>
      <c r="C15" s="12" t="s">
        <v>28</v>
      </c>
      <c r="D15" s="12" t="n">
        <v>27.3</v>
      </c>
      <c r="E15" s="12" t="n">
        <v>4</v>
      </c>
      <c r="F15" s="20" t="n">
        <f aca="false">D15-E15</f>
        <v>23.3</v>
      </c>
    </row>
    <row r="16" customFormat="false" ht="15" hidden="false" customHeight="false" outlineLevel="0" collapsed="false">
      <c r="B16" s="12" t="s">
        <v>25</v>
      </c>
      <c r="C16" s="12" t="s">
        <v>26</v>
      </c>
      <c r="D16" s="12" t="n">
        <v>31.7</v>
      </c>
      <c r="E16" s="12" t="n">
        <v>6</v>
      </c>
      <c r="F16" s="20" t="n">
        <f aca="false">D16-E16</f>
        <v>25.7</v>
      </c>
    </row>
    <row r="17" customFormat="false" ht="15" hidden="false" customHeight="false" outlineLevel="0" collapsed="false">
      <c r="B17" s="12" t="s">
        <v>25</v>
      </c>
      <c r="C17" s="12" t="s">
        <v>27</v>
      </c>
      <c r="D17" s="12" t="n">
        <v>54.6</v>
      </c>
      <c r="E17" s="12" t="n">
        <v>24</v>
      </c>
      <c r="F17" s="20" t="n">
        <f aca="false">D17-E17</f>
        <v>30.6</v>
      </c>
    </row>
    <row r="18" customFormat="false" ht="15" hidden="false" customHeight="false" outlineLevel="0" collapsed="false">
      <c r="B18" s="12" t="s">
        <v>25</v>
      </c>
      <c r="C18" s="12" t="s">
        <v>24</v>
      </c>
      <c r="D18" s="12" t="n">
        <v>42.8</v>
      </c>
      <c r="E18" s="12" t="n">
        <v>12</v>
      </c>
      <c r="F18" s="20" t="n">
        <f aca="false">D18-E18</f>
        <v>30.8</v>
      </c>
    </row>
    <row r="19" customFormat="false" ht="15" hidden="false" customHeight="false" outlineLevel="0" collapsed="false">
      <c r="B19" s="12" t="s">
        <v>25</v>
      </c>
      <c r="C19" s="12" t="s">
        <v>28</v>
      </c>
      <c r="D19" s="12" t="n">
        <v>24.4</v>
      </c>
      <c r="E19" s="12" t="n">
        <v>2</v>
      </c>
      <c r="F19" s="20" t="n">
        <f aca="false">D19-E19</f>
        <v>22.4</v>
      </c>
    </row>
    <row r="20" customFormat="false" ht="15" hidden="false" customHeight="false" outlineLevel="0" collapsed="false">
      <c r="B20" s="12" t="s">
        <v>30</v>
      </c>
      <c r="C20" s="12" t="s">
        <v>26</v>
      </c>
      <c r="D20" s="12" t="n">
        <v>32.1</v>
      </c>
      <c r="E20" s="12" t="n">
        <v>24</v>
      </c>
      <c r="F20" s="20" t="n">
        <f aca="false">D20-E20</f>
        <v>8.1</v>
      </c>
    </row>
    <row r="21" customFormat="false" ht="15" hidden="false" customHeight="false" outlineLevel="0" collapsed="false">
      <c r="B21" s="12" t="s">
        <v>30</v>
      </c>
      <c r="C21" s="12" t="s">
        <v>27</v>
      </c>
      <c r="D21" s="12" t="n">
        <v>55.8</v>
      </c>
      <c r="E21" s="12" t="n">
        <v>72</v>
      </c>
      <c r="F21" s="20" t="n">
        <f aca="false">D21-E21</f>
        <v>-16.2</v>
      </c>
    </row>
    <row r="22" customFormat="false" ht="15" hidden="false" customHeight="false" outlineLevel="0" collapsed="false">
      <c r="B22" s="12" t="s">
        <v>30</v>
      </c>
      <c r="C22" s="12" t="s">
        <v>24</v>
      </c>
      <c r="D22" s="12" t="n">
        <v>42.9</v>
      </c>
      <c r="E22" s="12" t="n">
        <v>48</v>
      </c>
      <c r="F22" s="20" t="n">
        <f aca="false">D22-E22</f>
        <v>-5.1</v>
      </c>
    </row>
    <row r="23" customFormat="false" ht="15" hidden="false" customHeight="false" outlineLevel="0" collapsed="false">
      <c r="B23" s="12" t="s">
        <v>30</v>
      </c>
      <c r="C23" s="12" t="s">
        <v>28</v>
      </c>
      <c r="D23" s="12" t="n">
        <v>26.8</v>
      </c>
      <c r="E23" s="12" t="n">
        <v>8</v>
      </c>
      <c r="F23" s="20" t="n">
        <f aca="false">D23-E23</f>
        <v>18.8</v>
      </c>
    </row>
  </sheetData>
  <conditionalFormatting sqref="C5:E8">
    <cfRule type="colorScale" priority="2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C7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20"/>
    <col collapsed="false" customWidth="true" hidden="false" outlineLevel="0" max="3" min="3" style="0" width="16"/>
    <col collapsed="false" customWidth="true" hidden="false" outlineLevel="0" max="5" min="4" style="0" width="4"/>
  </cols>
  <sheetData>
    <row r="2" customFormat="false" ht="19.7" hidden="false" customHeight="false" outlineLevel="0" collapsed="false">
      <c r="B2" s="1" t="s">
        <v>79</v>
      </c>
    </row>
    <row r="4" customFormat="false" ht="15" hidden="false" customHeight="false" outlineLevel="0" collapsed="false">
      <c r="B4" s="11" t="s">
        <v>80</v>
      </c>
      <c r="C4" s="11" t="s">
        <v>81</v>
      </c>
    </row>
    <row r="5" customFormat="false" ht="15" hidden="false" customHeight="false" outlineLevel="0" collapsed="false">
      <c r="B5" s="18" t="s">
        <v>82</v>
      </c>
      <c r="C5" s="18" t="n">
        <v>2109</v>
      </c>
    </row>
    <row r="6" customFormat="false" ht="15" hidden="false" customHeight="false" outlineLevel="0" collapsed="false">
      <c r="B6" s="18" t="s">
        <v>83</v>
      </c>
      <c r="C6" s="18" t="n">
        <v>1835</v>
      </c>
    </row>
    <row r="7" customFormat="false" ht="15" hidden="false" customHeight="false" outlineLevel="0" collapsed="false">
      <c r="B7" s="18" t="s">
        <v>84</v>
      </c>
      <c r="C7" s="18" t="n">
        <v>2139</v>
      </c>
    </row>
    <row r="8" customFormat="false" ht="15" hidden="false" customHeight="false" outlineLevel="0" collapsed="false">
      <c r="B8" s="18" t="s">
        <v>85</v>
      </c>
      <c r="C8" s="18" t="n">
        <v>2044</v>
      </c>
    </row>
    <row r="9" customFormat="false" ht="15" hidden="false" customHeight="false" outlineLevel="0" collapsed="false">
      <c r="B9" s="18" t="s">
        <v>86</v>
      </c>
      <c r="C9" s="18" t="n">
        <v>2044</v>
      </c>
    </row>
    <row r="10" customFormat="false" ht="15" hidden="false" customHeight="false" outlineLevel="0" collapsed="false">
      <c r="B10" s="18" t="s">
        <v>87</v>
      </c>
      <c r="C10" s="18" t="n">
        <v>2092</v>
      </c>
    </row>
    <row r="11" customFormat="false" ht="15" hidden="false" customHeight="false" outlineLevel="0" collapsed="false">
      <c r="B11" s="18" t="s">
        <v>88</v>
      </c>
      <c r="C11" s="18" t="n">
        <v>2070</v>
      </c>
    </row>
    <row r="12" customFormat="false" ht="15" hidden="false" customHeight="false" outlineLevel="0" collapsed="false">
      <c r="B12" s="18" t="s">
        <v>89</v>
      </c>
      <c r="C12" s="18" t="n">
        <v>2091</v>
      </c>
    </row>
    <row r="13" customFormat="false" ht="15" hidden="false" customHeight="false" outlineLevel="0" collapsed="false">
      <c r="B13" s="18" t="s">
        <v>90</v>
      </c>
      <c r="C13" s="18" t="n">
        <v>2006</v>
      </c>
    </row>
    <row r="14" customFormat="false" ht="15" hidden="false" customHeight="false" outlineLevel="0" collapsed="false">
      <c r="B14" s="18" t="s">
        <v>91</v>
      </c>
      <c r="C14" s="18" t="n">
        <v>2094</v>
      </c>
    </row>
    <row r="15" customFormat="false" ht="15" hidden="false" customHeight="false" outlineLevel="0" collapsed="false">
      <c r="B15" s="18" t="s">
        <v>92</v>
      </c>
      <c r="C15" s="18" t="n">
        <v>2056</v>
      </c>
    </row>
    <row r="16" customFormat="false" ht="15" hidden="false" customHeight="false" outlineLevel="0" collapsed="false">
      <c r="B16" s="18" t="s">
        <v>93</v>
      </c>
      <c r="C16" s="18" t="n">
        <v>2023</v>
      </c>
    </row>
    <row r="17" customFormat="false" ht="15" hidden="false" customHeight="false" outlineLevel="0" collapsed="false">
      <c r="B17" s="18" t="s">
        <v>94</v>
      </c>
      <c r="C17" s="18" t="n">
        <v>2068</v>
      </c>
    </row>
    <row r="18" customFormat="false" ht="15" hidden="false" customHeight="false" outlineLevel="0" collapsed="false">
      <c r="B18" s="18" t="s">
        <v>95</v>
      </c>
      <c r="C18" s="18" t="n">
        <v>1978</v>
      </c>
    </row>
    <row r="19" customFormat="false" ht="15" hidden="false" customHeight="false" outlineLevel="0" collapsed="false">
      <c r="B19" s="18" t="s">
        <v>96</v>
      </c>
      <c r="C19" s="18" t="n">
        <v>2148</v>
      </c>
    </row>
    <row r="20" customFormat="false" ht="15" hidden="false" customHeight="false" outlineLevel="0" collapsed="false">
      <c r="B20" s="18" t="s">
        <v>97</v>
      </c>
      <c r="C20" s="18" t="n">
        <v>2039</v>
      </c>
    </row>
    <row r="21" customFormat="false" ht="15" hidden="false" customHeight="false" outlineLevel="0" collapsed="false">
      <c r="B21" s="18" t="s">
        <v>98</v>
      </c>
      <c r="C21" s="18" t="n">
        <v>2066</v>
      </c>
    </row>
    <row r="22" customFormat="false" ht="15" hidden="false" customHeight="false" outlineLevel="0" collapsed="false">
      <c r="B22" s="18" t="s">
        <v>99</v>
      </c>
      <c r="C22" s="18" t="n">
        <v>2038</v>
      </c>
    </row>
    <row r="23" customFormat="false" ht="15" hidden="false" customHeight="false" outlineLevel="0" collapsed="false">
      <c r="B23" s="18" t="s">
        <v>100</v>
      </c>
      <c r="C23" s="18" t="n">
        <v>2263</v>
      </c>
    </row>
    <row r="24" customFormat="false" ht="15" hidden="false" customHeight="false" outlineLevel="0" collapsed="false">
      <c r="B24" s="18" t="s">
        <v>101</v>
      </c>
      <c r="C24" s="18" t="n">
        <v>2098</v>
      </c>
    </row>
    <row r="25" customFormat="false" ht="15" hidden="false" customHeight="false" outlineLevel="0" collapsed="false">
      <c r="B25" s="18" t="s">
        <v>102</v>
      </c>
      <c r="C25" s="18" t="n">
        <v>2104</v>
      </c>
    </row>
    <row r="26" customFormat="false" ht="15" hidden="false" customHeight="false" outlineLevel="0" collapsed="false">
      <c r="B26" s="18" t="s">
        <v>103</v>
      </c>
      <c r="C26" s="18" t="n">
        <v>2121</v>
      </c>
    </row>
    <row r="27" customFormat="false" ht="15" hidden="false" customHeight="false" outlineLevel="0" collapsed="false">
      <c r="B27" s="18" t="s">
        <v>104</v>
      </c>
      <c r="C27" s="18" t="n">
        <v>2045</v>
      </c>
    </row>
    <row r="28" customFormat="false" ht="15" hidden="false" customHeight="false" outlineLevel="0" collapsed="false">
      <c r="B28" s="18" t="s">
        <v>105</v>
      </c>
      <c r="C28" s="18" t="n">
        <v>2197</v>
      </c>
    </row>
    <row r="29" customFormat="false" ht="15" hidden="false" customHeight="false" outlineLevel="0" collapsed="false">
      <c r="B29" s="18" t="s">
        <v>106</v>
      </c>
      <c r="C29" s="18" t="n">
        <v>2161</v>
      </c>
    </row>
    <row r="30" customFormat="false" ht="15" hidden="false" customHeight="false" outlineLevel="0" collapsed="false">
      <c r="B30" s="18" t="s">
        <v>107</v>
      </c>
      <c r="C30" s="18" t="n">
        <v>1976</v>
      </c>
    </row>
    <row r="31" customFormat="false" ht="15" hidden="false" customHeight="false" outlineLevel="0" collapsed="false">
      <c r="B31" s="18" t="s">
        <v>108</v>
      </c>
      <c r="C31" s="18" t="n">
        <v>2102</v>
      </c>
    </row>
    <row r="32" customFormat="false" ht="15" hidden="false" customHeight="false" outlineLevel="0" collapsed="false">
      <c r="B32" s="18" t="s">
        <v>109</v>
      </c>
      <c r="C32" s="18" t="n">
        <v>2078</v>
      </c>
    </row>
    <row r="33" customFormat="false" ht="15" hidden="false" customHeight="false" outlineLevel="0" collapsed="false">
      <c r="B33" s="18" t="s">
        <v>110</v>
      </c>
      <c r="C33" s="18" t="n">
        <v>2159</v>
      </c>
    </row>
    <row r="34" customFormat="false" ht="15" hidden="false" customHeight="false" outlineLevel="0" collapsed="false">
      <c r="B34" s="18" t="s">
        <v>111</v>
      </c>
      <c r="C34" s="18" t="n">
        <v>2027</v>
      </c>
    </row>
    <row r="35" customFormat="false" ht="15" hidden="false" customHeight="false" outlineLevel="0" collapsed="false">
      <c r="B35" s="18" t="s">
        <v>112</v>
      </c>
      <c r="C35" s="18" t="n">
        <v>2114</v>
      </c>
    </row>
    <row r="36" customFormat="false" ht="15" hidden="false" customHeight="false" outlineLevel="0" collapsed="false">
      <c r="B36" s="18" t="s">
        <v>113</v>
      </c>
      <c r="C36" s="18" t="n">
        <v>2211</v>
      </c>
    </row>
    <row r="37" customFormat="false" ht="15" hidden="false" customHeight="false" outlineLevel="0" collapsed="false">
      <c r="B37" s="18" t="s">
        <v>114</v>
      </c>
      <c r="C37" s="18" t="n">
        <v>2001</v>
      </c>
    </row>
    <row r="38" customFormat="false" ht="15" hidden="false" customHeight="false" outlineLevel="0" collapsed="false">
      <c r="B38" s="18" t="s">
        <v>115</v>
      </c>
      <c r="C38" s="18" t="n">
        <v>2097</v>
      </c>
    </row>
    <row r="39" customFormat="false" ht="15" hidden="false" customHeight="false" outlineLevel="0" collapsed="false">
      <c r="B39" s="18" t="s">
        <v>116</v>
      </c>
      <c r="C39" s="18" t="n">
        <v>2060</v>
      </c>
    </row>
    <row r="40" customFormat="false" ht="15" hidden="false" customHeight="false" outlineLevel="0" collapsed="false">
      <c r="B40" s="18" t="s">
        <v>117</v>
      </c>
      <c r="C40" s="18" t="n">
        <v>2084</v>
      </c>
    </row>
    <row r="41" customFormat="false" ht="15" hidden="false" customHeight="false" outlineLevel="0" collapsed="false">
      <c r="B41" s="18" t="s">
        <v>118</v>
      </c>
      <c r="C41" s="18" t="n">
        <v>2158</v>
      </c>
    </row>
    <row r="42" customFormat="false" ht="15" hidden="false" customHeight="false" outlineLevel="0" collapsed="false">
      <c r="B42" s="18" t="s">
        <v>119</v>
      </c>
      <c r="C42" s="18" t="n">
        <v>1895</v>
      </c>
    </row>
    <row r="43" customFormat="false" ht="15" hidden="false" customHeight="false" outlineLevel="0" collapsed="false">
      <c r="B43" s="18" t="s">
        <v>120</v>
      </c>
      <c r="C43" s="18" t="n">
        <v>2129</v>
      </c>
    </row>
    <row r="44" customFormat="false" ht="15" hidden="false" customHeight="false" outlineLevel="0" collapsed="false">
      <c r="B44" s="18" t="s">
        <v>121</v>
      </c>
      <c r="C44" s="18" t="n">
        <v>2058</v>
      </c>
    </row>
    <row r="45" customFormat="false" ht="15" hidden="false" customHeight="false" outlineLevel="0" collapsed="false">
      <c r="B45" s="18" t="s">
        <v>122</v>
      </c>
      <c r="C45" s="18" t="n">
        <v>2125</v>
      </c>
    </row>
    <row r="46" customFormat="false" ht="15" hidden="false" customHeight="false" outlineLevel="0" collapsed="false">
      <c r="B46" s="18" t="s">
        <v>123</v>
      </c>
      <c r="C46" s="18" t="n">
        <v>2090</v>
      </c>
    </row>
    <row r="47" customFormat="false" ht="15" hidden="false" customHeight="false" outlineLevel="0" collapsed="false">
      <c r="B47" s="18" t="s">
        <v>124</v>
      </c>
      <c r="C47" s="18" t="n">
        <v>2127</v>
      </c>
    </row>
    <row r="48" customFormat="false" ht="15" hidden="false" customHeight="false" outlineLevel="0" collapsed="false">
      <c r="B48" s="18" t="s">
        <v>125</v>
      </c>
      <c r="C48" s="18" t="n">
        <v>2128</v>
      </c>
    </row>
    <row r="49" customFormat="false" ht="15" hidden="false" customHeight="false" outlineLevel="0" collapsed="false">
      <c r="B49" s="18" t="s">
        <v>126</v>
      </c>
      <c r="C49" s="18" t="n">
        <v>2063</v>
      </c>
    </row>
    <row r="50" customFormat="false" ht="15" hidden="false" customHeight="false" outlineLevel="0" collapsed="false">
      <c r="B50" s="18" t="s">
        <v>127</v>
      </c>
      <c r="C50" s="18" t="n">
        <v>2146</v>
      </c>
    </row>
    <row r="51" customFormat="false" ht="15" hidden="false" customHeight="false" outlineLevel="0" collapsed="false">
      <c r="B51" s="18" t="s">
        <v>128</v>
      </c>
      <c r="C51" s="18" t="n">
        <v>2114</v>
      </c>
    </row>
    <row r="52" customFormat="false" ht="15" hidden="false" customHeight="false" outlineLevel="0" collapsed="false">
      <c r="B52" s="18" t="s">
        <v>129</v>
      </c>
      <c r="C52" s="18" t="n">
        <v>2129</v>
      </c>
    </row>
    <row r="55" customFormat="false" ht="15" hidden="false" customHeight="false" outlineLevel="0" collapsed="false">
      <c r="B55" s="3" t="s">
        <v>130</v>
      </c>
    </row>
    <row r="56" customFormat="false" ht="15" hidden="false" customHeight="false" outlineLevel="0" collapsed="false">
      <c r="B56" s="11" t="s">
        <v>131</v>
      </c>
      <c r="C56" s="11" t="s">
        <v>132</v>
      </c>
    </row>
    <row r="57" customFormat="false" ht="15" hidden="false" customHeight="false" outlineLevel="0" collapsed="false">
      <c r="B57" s="18" t="s">
        <v>133</v>
      </c>
      <c r="C57" s="21" t="n">
        <v>0.545</v>
      </c>
    </row>
    <row r="58" customFormat="false" ht="15" hidden="false" customHeight="false" outlineLevel="0" collapsed="false">
      <c r="B58" s="18" t="s">
        <v>134</v>
      </c>
      <c r="C58" s="21" t="n">
        <v>0.218</v>
      </c>
    </row>
    <row r="59" customFormat="false" ht="15" hidden="false" customHeight="false" outlineLevel="0" collapsed="false">
      <c r="B59" s="18" t="s">
        <v>135</v>
      </c>
      <c r="C59" s="21" t="n">
        <v>0.048</v>
      </c>
    </row>
    <row r="60" customFormat="false" ht="15" hidden="false" customHeight="false" outlineLevel="0" collapsed="false">
      <c r="B60" s="18" t="s">
        <v>136</v>
      </c>
      <c r="C60" s="21" t="n">
        <v>0.034</v>
      </c>
    </row>
    <row r="61" customFormat="false" ht="15" hidden="false" customHeight="false" outlineLevel="0" collapsed="false">
      <c r="B61" s="18" t="s">
        <v>137</v>
      </c>
      <c r="C61" s="21" t="n">
        <v>0.022</v>
      </c>
    </row>
    <row r="62" customFormat="false" ht="15" hidden="false" customHeight="false" outlineLevel="0" collapsed="false">
      <c r="B62" s="18" t="s">
        <v>138</v>
      </c>
      <c r="C62" s="21" t="n">
        <v>0.021</v>
      </c>
    </row>
    <row r="63" customFormat="false" ht="15" hidden="false" customHeight="false" outlineLevel="0" collapsed="false">
      <c r="B63" s="18" t="s">
        <v>139</v>
      </c>
      <c r="C63" s="21" t="n">
        <v>0.02</v>
      </c>
    </row>
    <row r="64" customFormat="false" ht="15" hidden="false" customHeight="false" outlineLevel="0" collapsed="false">
      <c r="B64" s="18" t="s">
        <v>140</v>
      </c>
      <c r="C64" s="21" t="n">
        <v>0.018</v>
      </c>
    </row>
    <row r="65" customFormat="false" ht="15" hidden="false" customHeight="false" outlineLevel="0" collapsed="false">
      <c r="B65" s="18" t="s">
        <v>141</v>
      </c>
      <c r="C65" s="21" t="n">
        <v>0.017</v>
      </c>
    </row>
    <row r="66" customFormat="false" ht="15" hidden="false" customHeight="false" outlineLevel="0" collapsed="false">
      <c r="B66" s="18" t="s">
        <v>142</v>
      </c>
      <c r="C66" s="21" t="n">
        <v>0.017</v>
      </c>
    </row>
    <row r="67" customFormat="false" ht="15" hidden="false" customHeight="false" outlineLevel="0" collapsed="false">
      <c r="B67" s="18" t="s">
        <v>143</v>
      </c>
      <c r="C67" s="21" t="n">
        <v>0.017</v>
      </c>
    </row>
    <row r="68" customFormat="false" ht="15" hidden="false" customHeight="false" outlineLevel="0" collapsed="false">
      <c r="B68" s="18" t="s">
        <v>144</v>
      </c>
      <c r="C68" s="21" t="n">
        <v>0.017</v>
      </c>
    </row>
    <row r="69" customFormat="false" ht="15" hidden="false" customHeight="false" outlineLevel="0" collapsed="false">
      <c r="B69" s="18" t="s">
        <v>145</v>
      </c>
      <c r="C69" s="21" t="n">
        <v>0.007</v>
      </c>
    </row>
    <row r="72" customFormat="false" ht="15" hidden="false" customHeight="false" outlineLevel="0" collapsed="false">
      <c r="B72" s="3" t="s">
        <v>146</v>
      </c>
    </row>
    <row r="73" customFormat="false" ht="15" hidden="false" customHeight="false" outlineLevel="0" collapsed="false">
      <c r="B73" s="4" t="s">
        <v>147</v>
      </c>
      <c r="C73" s="18" t="s">
        <v>148</v>
      </c>
    </row>
    <row r="74" customFormat="false" ht="15" hidden="false" customHeight="false" outlineLevel="0" collapsed="false">
      <c r="B74" s="4" t="s">
        <v>149</v>
      </c>
      <c r="C74" s="21" t="n">
        <v>0.775</v>
      </c>
    </row>
    <row r="75" customFormat="false" ht="15" hidden="false" customHeight="false" outlineLevel="0" collapsed="false">
      <c r="B75" s="4" t="s">
        <v>150</v>
      </c>
      <c r="C75" s="21" t="n">
        <v>0.73</v>
      </c>
    </row>
    <row r="76" customFormat="false" ht="15" hidden="false" customHeight="false" outlineLevel="0" collapsed="false">
      <c r="B76" s="4" t="s">
        <v>151</v>
      </c>
      <c r="C76" s="21" t="n">
        <v>0.61</v>
      </c>
    </row>
    <row r="77" customFormat="false" ht="15" hidden="false" customHeight="false" outlineLevel="0" collapsed="false">
      <c r="B77" s="4" t="s">
        <v>152</v>
      </c>
      <c r="C77" s="21" t="n">
        <v>0.75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2026-08-19T07:32:14Z</dcterms:created>
  <dc:creator>openpyxl</dc:creator>
  <dc:description/>
  <dc:language>en-US</dc:language>
  <cp:lastModifiedBy/>
  <dcterms:modified xsi:type="dcterms:W3CDTF">2026-08-19T07:32:22Z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